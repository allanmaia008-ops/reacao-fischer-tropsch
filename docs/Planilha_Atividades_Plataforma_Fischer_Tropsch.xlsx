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8b797582ee44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3ce7794f69024b05"/>
    <x:sheet xmlns:r="http://schemas.openxmlformats.org/officeDocument/2006/relationships" name="Atividades" sheetId="2" r:id="Racc1e375121645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"/>
  </x:numFmts>
  <x:fonts count="11">
    <x:font>
      <x:sz val="11"/>
      <x:name val="Carlito"/>
    </x:font>
    <x:font>
      <x:b/>
      <x:sz val="16"/>
      <x:color rgb="FF17365D"/>
      <x:name val="Arial"/>
    </x:font>
    <x:font>
      <x:i/>
      <x:sz val="10"/>
      <x:color rgb="FF666666"/>
      <x:name val="Arial"/>
    </x:font>
    <x:font>
      <x:b/>
      <x:sz val="11"/>
      <x:color rgb="FF17365D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1"/>
      <x:name val="Arial"/>
    </x:font>
    <x:font>
      <x:i/>
      <x:sz val="11"/>
      <x:color rgb="FF7F6000"/>
      <x:name val="Arial"/>
    </x:font>
    <x:font>
      <x:sz val="11"/>
      <x:name val="Arial"/>
    </x:font>
    <x:font>
      <x:b/>
      <x:sz val="10"/>
      <x:color rgb="FFFFFFFF"/>
      <x:name val="Arial"/>
    </x:font>
    <x:font>
      <x:sz val="9"/>
      <x:color rgb="FF222222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18">
    <x:border>
      <x:left/>
      <x:right/>
      <x:top/>
      <x:bottom/>
      <x:diagonal/>
    </x:border>
    <x:border>
      <x:left style="thin">
        <x:color rgb="FF9EADBA"/>
      </x:left>
      <x:right/>
      <x:top style="thin">
        <x:color rgb="FF9EADBA"/>
      </x:top>
      <x:bottom style="thin">
        <x:color rgb="FF9EADBA"/>
      </x:bottom>
      <x:diagonal/>
    </x:border>
    <x:border>
      <x:left/>
      <x:right style="thin">
        <x:color rgb="FF9EADBA"/>
      </x:right>
      <x:top style="thin">
        <x:color rgb="FF9EADBA"/>
      </x:top>
      <x:bottom style="thin">
        <x:color rgb="FF9EADBA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9EADBA"/>
      </x:bottom>
      <x:diagonal/>
    </x:border>
    <x:border>
      <x:left style="thin">
        <x:color rgb="FFD6B656"/>
      </x:left>
      <x:right/>
      <x:top style="thin">
        <x:color rgb="FFD6B656"/>
      </x:top>
      <x:bottom/>
      <x:diagonal/>
    </x:border>
    <x:border>
      <x:left/>
      <x:right/>
      <x:top style="thin">
        <x:color rgb="FFD6B656"/>
      </x:top>
      <x:bottom/>
      <x:diagonal/>
    </x:border>
    <x:border>
      <x:left/>
      <x:right style="thin">
        <x:color rgb="FFD6B656"/>
      </x:right>
      <x:top style="thin">
        <x:color rgb="FFD6B656"/>
      </x:top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/>
      <x:right style="thin">
        <x:color rgb="FFFFFFFF"/>
      </x:right>
      <x:top/>
      <x:bottom style="thin">
        <x:color rgb="FF17365D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17365D"/>
      </x:bottom>
      <x:diagonal/>
    </x:border>
    <x:border>
      <x:left style="thin">
        <x:color rgb="FFFFFFFF"/>
      </x:left>
      <x:right/>
      <x:top/>
      <x:bottom style="thin">
        <x:color rgb="FF17365D"/>
      </x:bottom>
      <x:diagonal/>
    </x:border>
    <x:border>
      <x:left/>
      <x:right/>
      <x:top/>
      <x:bottom style="thin">
        <x:color rgb="FFE6E6E6"/>
      </x:bottom>
      <x:diagonal/>
    </x:border>
    <x:border>
      <x:left/>
      <x:right/>
      <x:top style="thin">
        <x:color rgb="FFE6E6E6"/>
      </x:top>
      <x:bottom style="thin">
        <x:color rgb="FFE6E6E6"/>
      </x:bottom>
      <x:diagonal/>
    </x:border>
    <x:border>
      <x:left/>
      <x:right/>
      <x:top style="thin">
        <x:color rgb="FFE6E6E6"/>
      </x:top>
      <x:bottom/>
      <x:diagonal/>
    </x:border>
  </x:borders>
  <x:cellStyleXfs count="1">
    <x:xf numFmtId="0" fontId="0" fillId="0" borderId="0"/>
  </x:cellStyleXfs>
  <x:cellXfs count="8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200" fontId="3" fillId="2" borderId="2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201" fontId="5" fillId="0" borderId="3" xfId="0" applyNumberFormat="1" applyFont="1" applyFill="1" applyBorder="1"/>
    <x:xf numFmtId="201" fontId="5" fillId="0" borderId="4" xfId="0" applyNumberFormat="1" applyFont="1" applyFill="1" applyBorder="1"/>
    <x:xf numFmtId="201" fontId="5" fillId="0" borderId="5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6" xfId="0" applyNumberFormat="1" applyFont="1" applyFill="1" applyBorder="1"/>
    <x:xf numFmtId="0" fontId="7" fillId="4" borderId="7" xfId="0" applyNumberFormat="1" applyFont="1" applyFill="1" applyBorder="1"/>
    <x:xf numFmtId="0" fontId="7" fillId="4" borderId="8" xfId="0" applyNumberFormat="1" applyFont="1" applyFill="1" applyBorder="1"/>
    <x:xf numFmtId="0" fontId="7" fillId="4" borderId="9" xfId="0" applyNumberFormat="1" applyFont="1" applyFill="1" applyBorder="1"/>
    <x:xf numFmtId="0" fontId="7" fillId="4" borderId="10" xfId="0" applyNumberFormat="1" applyFont="1" applyFill="1" applyBorder="1"/>
    <x:xf numFmtId="0" fontId="7" fillId="4" borderId="11" xfId="0" applyNumberFormat="1" applyFont="1" applyFill="1" applyBorder="1"/>
    <x:xf numFmtId="0" fontId="7" fillId="4" borderId="6" xfId="0" applyNumberFormat="1" applyFont="1" applyFill="1" applyBorder="1" applyAlignment="1">
      <x:alignment wrapText="1"/>
    </x:xf>
    <x:xf numFmtId="0" fontId="7" fillId="4" borderId="7" xfId="0" applyNumberFormat="1" applyFont="1" applyFill="1" applyBorder="1" applyAlignment="1">
      <x:alignment wrapText="1"/>
    </x:xf>
    <x:xf numFmtId="0" fontId="7" fillId="4" borderId="8" xfId="0" applyNumberFormat="1" applyFont="1" applyFill="1" applyBorder="1" applyAlignment="1">
      <x:alignment wrapText="1"/>
    </x:xf>
    <x:xf numFmtId="0" fontId="7" fillId="4" borderId="9" xfId="0" applyNumberFormat="1" applyFont="1" applyFill="1" applyBorder="1" applyAlignment="1">
      <x:alignment wrapText="1"/>
    </x:xf>
    <x:xf numFmtId="0" fontId="7" fillId="4" borderId="10" xfId="0" applyNumberFormat="1" applyFont="1" applyFill="1" applyBorder="1" applyAlignment="1">
      <x:alignment wrapText="1"/>
    </x:xf>
    <x:xf numFmtId="0" fontId="7" fillId="4" borderId="11" xfId="0" applyNumberFormat="1" applyFont="1" applyFill="1" applyBorder="1" applyAlignment="1">
      <x:alignment wrapText="1"/>
    </x:xf>
    <x:xf numFmtId="0" fontId="7" fillId="4" borderId="6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4" borderId="8" xfId="0" applyNumberFormat="1" applyFont="1" applyFill="1" applyBorder="1" applyAlignment="1">
      <x:alignment vertical="center" wrapText="1"/>
    </x:xf>
    <x:xf numFmtId="0" fontId="7" fillId="4" borderId="9" xfId="0" applyNumberFormat="1" applyFont="1" applyFill="1" applyBorder="1" applyAlignment="1">
      <x:alignment vertical="center" wrapText="1"/>
    </x:xf>
    <x:xf numFmtId="0" fontId="7" fillId="4" borderId="10" xfId="0" applyNumberFormat="1" applyFont="1" applyFill="1" applyBorder="1" applyAlignment="1">
      <x:alignment vertical="center" wrapText="1"/>
    </x:xf>
    <x:xf numFmtId="0" fontId="7" fillId="4" borderId="1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/>
    <x:xf numFmtId="0" fontId="9" fillId="3" borderId="12" xfId="0" applyNumberFormat="1" applyFont="1" applyFill="1" applyBorder="1"/>
    <x:xf numFmtId="0" fontId="9" fillId="3" borderId="13" xfId="0" applyNumberFormat="1" applyFont="1" applyFill="1" applyBorder="1"/>
    <x:xf numFmtId="0" fontId="9" fillId="3" borderId="14" xfId="0" applyNumberFormat="1" applyFont="1" applyFill="1" applyBorder="1"/>
    <x:xf numFmtId="0" fontId="9" fillId="3" borderId="12" xfId="0" applyNumberFormat="1" applyFont="1" applyFill="1" applyBorder="1" applyAlignment="1">
      <x:alignment wrapText="1"/>
    </x:xf>
    <x:xf numFmtId="0" fontId="9" fillId="3" borderId="13" xfId="0" applyNumberFormat="1" applyFont="1" applyFill="1" applyBorder="1" applyAlignment="1">
      <x:alignment wrapText="1"/>
    </x:xf>
    <x:xf numFmtId="0" fontId="9" fillId="3" borderId="14" xfId="0" applyNumberFormat="1" applyFont="1" applyFill="1" applyBorder="1" applyAlignment="1">
      <x:alignment wrapText="1"/>
    </x:xf>
    <x:xf numFmtId="0" fontId="9" fillId="3" borderId="12" xfId="0" applyNumberFormat="1" applyFont="1" applyFill="1" applyBorder="1" applyAlignment="1">
      <x:alignment horizontal="center" wrapText="1"/>
    </x:xf>
    <x:xf numFmtId="0" fontId="9" fillId="3" borderId="13" xfId="0" applyNumberFormat="1" applyFont="1" applyFill="1" applyBorder="1" applyAlignment="1">
      <x:alignment horizontal="center" wrapText="1"/>
    </x:xf>
    <x:xf numFmtId="0" fontId="9" fillId="3" borderId="14" xfId="0" applyNumberFormat="1" applyFont="1" applyFill="1" applyBorder="1" applyAlignment="1">
      <x:alignment horizontal="center" wrapText="1"/>
    </x:xf>
    <x:xf numFmtId="0" fontId="9" fillId="3" borderId="12" xfId="0" applyNumberFormat="1" applyFont="1" applyFill="1" applyBorder="1" applyAlignment="1">
      <x:alignment horizontal="center" vertical="center" wrapText="1"/>
    </x:xf>
    <x:xf numFmtId="0" fontId="9" fillId="3" borderId="13" xfId="0" applyNumberFormat="1" applyFont="1" applyFill="1" applyBorder="1" applyAlignment="1">
      <x:alignment horizontal="center" vertical="center" wrapText="1"/>
    </x:xf>
    <x:xf numFmtId="0" fontId="9" fillId="3" borderId="14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15" xfId="0" applyNumberFormat="1" applyFont="1" applyFill="1" applyBorder="1"/>
    <x:xf numFmtId="0" fontId="10" fillId="0" borderId="16" xfId="0" applyNumberFormat="1" applyFont="1" applyFill="1" applyBorder="1"/>
    <x:xf numFmtId="0" fontId="10" fillId="0" borderId="17" xfId="0" applyNumberFormat="1" applyFont="1" applyFill="1" applyBorder="1"/>
    <x:xf numFmtId="0" fontId="1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wrapText="1"/>
    </x:xf>
    <x:xf numFmtId="0" fontId="10" fillId="0" borderId="17" xfId="0" applyNumberFormat="1" applyFont="1" applyFill="1" applyBorder="1" applyAlignment="1">
      <x:alignment wrapText="1"/>
    </x:xf>
    <x:xf numFmtId="0" fontId="10" fillId="0" borderId="15" xfId="0" applyNumberFormat="1" applyFont="1" applyFill="1" applyBorder="1" applyAlignment="1">
      <x:alignment vertical="top" wrapText="1"/>
    </x:xf>
    <x:xf numFmtId="0" fontId="10" fillId="0" borderId="16" xfId="0" applyNumberFormat="1" applyFont="1" applyFill="1" applyBorder="1" applyAlignment="1">
      <x:alignment vertical="top" wrapText="1"/>
    </x:xf>
    <x:xf numFmtId="0" fontId="10" fillId="0" borderId="17" xfId="0" applyNumberFormat="1" applyFont="1" applyFill="1" applyBorder="1" applyAlignment="1">
      <x:alignment vertical="top" wrapText="1"/>
    </x:xf>
    <x:xf numFmtId="0" fontId="10" fillId="0" borderId="15" xfId="0" applyNumberFormat="1" applyFont="1" applyFill="1" applyBorder="1" applyAlignment="1">
      <x:alignment horizontal="center" vertical="top" wrapText="1"/>
    </x:xf>
    <x:xf numFmtId="0" fontId="10" fillId="0" borderId="16" xfId="0" applyNumberFormat="1" applyFont="1" applyFill="1" applyBorder="1" applyAlignment="1">
      <x:alignment horizontal="center" vertical="top" wrapText="1"/>
    </x:xf>
    <x:xf numFmtId="0" fontId="10" fillId="0" borderId="17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7365D"/>
      </x:font>
      <x:fill>
        <x:patternFill patternType="solid">
          <x:bgColor rgb="FFD9EAF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3020ad3e284896" /><Relationship Type="http://schemas.openxmlformats.org/officeDocument/2006/relationships/theme" Target="/xl/theme/theme1.xml" Id="R27af8c73e0b34d33" /><Relationship Type="http://schemas.openxmlformats.org/officeDocument/2006/relationships/sharedStrings" Target="/xl/sharedStrings.xml" Id="Rc842f742852a4a03" /><Relationship Type="http://schemas.openxmlformats.org/officeDocument/2006/relationships/worksheet" Target="/xl/worksheets/sheet1.xml" Id="R3ce7794f69024b05" /><Relationship Type="http://schemas.openxmlformats.org/officeDocument/2006/relationships/worksheet" Target="/xl/worksheets/sheet2.xml" Id="Racc1e375121645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6ff1346c2f4d2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Atividades por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Quantidade</c:v>
          </c:tx>
          <c:invertIfNegative val="0"/>
          <c:cat>
            <c:strRef>
              <c:f>'Resumo'!$A$9:$A$12</c:f>
              <c:strCache>
                <c:ptCount val="0"/>
              </c:strCache>
            </c:strRef>
          </c:cat>
          <c:val>
            <c:numRef>
              <c:f>'Resumo'!$B$9:$B$12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6ff1346c2f4d2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ctivitiesTable" displayName="ActivitiesTable" ref="A4:I52" headerRowCount="1" totalsRowCount="0" totalsRowShown="0">
  <x:autoFilter ref="A4:I52"/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9ef37620c3e45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5f9855b4d6e430d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3" hidden="0" customWidth="1"/>
    <x:col min="4" max="4" width="20" hidden="0" customWidth="1"/>
    <x:col min="5" max="5" width="12" hidden="0" customWidth="1"/>
    <x:col min="6" max="6" width="3" hidden="0" customWidth="1"/>
    <x:col min="7" max="7" width="23" hidden="0" customWidth="1"/>
    <x:col min="8" max="8" width="14" hidden="0" customWidth="1"/>
  </x:cols>
  <x:sheetData>
    <x:row r="1" ht="20" customHeight="1">
      <x:c r="A1" s="50"/>
      <x:c r="B1" s="50"/>
      <x:c r="C1" s="50"/>
      <x:c r="D1" s="50"/>
      <x:c r="E1" s="50"/>
      <x:c r="F1" s="50"/>
      <x:c r="G1" s="50"/>
      <x:c r="H1" s="50"/>
    </x:row>
    <x:row r="2" ht="28" customHeight="1">
      <x:c r="A2" s="2" t="str">
        <x:v>Atividades da Plataforma Reação Fischer–Tropsch</x:v>
      </x:c>
      <x:c r="B2" s="2"/>
      <x:c r="C2" s="2"/>
      <x:c r="D2" s="2"/>
      <x:c r="E2" s="2"/>
      <x:c r="F2" s="2"/>
      <x:c r="G2" s="2"/>
      <x:c r="H2" s="2"/>
    </x:row>
    <x:row r="3" ht="20" customHeight="1">
      <x:c r="A3" s="51" t="str">
        <x:v>Situação verificada no repositório principal em 2026-10-12</x:v>
      </x:c>
      <x:c r="B3" s="51"/>
      <x:c r="C3" s="51"/>
      <x:c r="D3" s="51"/>
      <x:c r="E3" s="51"/>
      <x:c r="F3" s="51"/>
      <x:c r="G3" s="51"/>
      <x:c r="H3" s="51"/>
    </x:row>
    <x:row r="4" ht="20" customHeight="1">
      <x:c r="A4" s="50"/>
      <x:c r="B4" s="50"/>
      <x:c r="C4" s="50"/>
      <x:c r="D4" s="50"/>
      <x:c r="E4" s="50"/>
      <x:c r="F4" s="50"/>
      <x:c r="G4" s="50"/>
      <x:c r="H4" s="50"/>
    </x:row>
    <x:row r="5" ht="20" customHeight="1">
      <x:c r="A5" s="8" t="str">
        <x:v>Total de atividades</x:v>
      </x:c>
      <x:c r="B5" s="9" t="n">
        <x:v>48</x:v>
      </x:c>
      <x:c r="C5" s="50"/>
      <x:c r="D5" s="8" t="str">
        <x:v>Concluídas</x:v>
      </x:c>
      <x:c r="E5" s="9" t="n">
        <x:f>COUNTIF(Atividades!$G$5:$G$52,"Concluído")</x:f>
        <x:v>12</x:v>
      </x:c>
      <x:c r="F5" s="50"/>
      <x:c r="G5" s="8" t="str">
        <x:v>Progresso concluído</x:v>
      </x:c>
      <x:c r="H5" s="10" t="n">
        <x:f>E5/B5</x:f>
        <x:v>0.25</x:v>
      </x:c>
    </x:row>
    <x:row r="6" ht="20" customHeight="1">
      <x:c r="A6" s="50"/>
      <x:c r="B6" s="50"/>
      <x:c r="C6" s="50"/>
      <x:c r="D6" s="50"/>
      <x:c r="E6" s="50"/>
      <x:c r="F6" s="50"/>
      <x:c r="G6" s="50"/>
      <x:c r="H6" s="50"/>
    </x:row>
    <x:row r="7" ht="20" customHeight="1">
      <x:c r="A7" s="50"/>
      <x:c r="B7" s="50"/>
      <x:c r="C7" s="50"/>
      <x:c r="D7" s="50"/>
      <x:c r="E7" s="50"/>
      <x:c r="F7" s="50"/>
      <x:c r="G7" s="50"/>
      <x:c r="H7" s="50"/>
    </x:row>
    <x:row r="8" ht="20" customHeight="1">
      <x:c r="A8" s="14" t="str">
        <x:v>Status</x:v>
      </x:c>
      <x:c r="B8" s="14" t="str">
        <x:v>Quantidade</x:v>
      </x:c>
      <x:c r="C8" s="50"/>
      <x:c r="D8" s="50"/>
      <x:c r="E8" s="50"/>
      <x:c r="F8" s="50"/>
      <x:c r="G8" s="50"/>
      <x:c r="H8" s="50"/>
    </x:row>
    <x:row r="9" ht="20" customHeight="1">
      <x:c r="A9" s="52" t="str">
        <x:v>Concluído</x:v>
      </x:c>
      <x:c r="B9" s="53" t="n">
        <x:f>COUNTIF(Atividades!$G$5:$G$52,A9)</x:f>
        <x:v>12</x:v>
      </x:c>
      <x:c r="C9" s="50"/>
      <x:c r="D9" s="50"/>
      <x:c r="E9" s="50"/>
      <x:c r="F9" s="50"/>
      <x:c r="G9" s="50"/>
      <x:c r="H9" s="50"/>
    </x:row>
    <x:row r="10" ht="20" customHeight="1">
      <x:c r="A10" s="54" t="str">
        <x:v>Parcial</x:v>
      </x:c>
      <x:c r="B10" s="55" t="n">
        <x:f>COUNTIF(Atividades!$G$5:$G$52,A10)</x:f>
        <x:v>15</x:v>
      </x:c>
      <x:c r="C10" s="50"/>
      <x:c r="D10" s="50"/>
      <x:c r="E10" s="50"/>
      <x:c r="F10" s="50"/>
      <x:c r="G10" s="50"/>
      <x:c r="H10" s="50"/>
    </x:row>
    <x:row r="11" ht="20" customHeight="1">
      <x:c r="A11" s="54" t="str">
        <x:v>Planejado</x:v>
      </x:c>
      <x:c r="B11" s="55" t="n">
        <x:f>COUNTIF(Atividades!$G$5:$G$52,A11)</x:f>
        <x:v>16</x:v>
      </x:c>
      <x:c r="C11" s="50"/>
      <x:c r="D11" s="50"/>
      <x:c r="E11" s="50"/>
      <x:c r="F11" s="50"/>
      <x:c r="G11" s="50"/>
      <x:c r="H11" s="50"/>
    </x:row>
    <x:row r="12" ht="20" customHeight="1">
      <x:c r="A12" s="56" t="str">
        <x:v>Bloqueado</x:v>
      </x:c>
      <x:c r="B12" s="57" t="n">
        <x:f>COUNTIF(Atividades!$G$5:$G$52,A12)</x:f>
        <x:v>5</x:v>
      </x:c>
      <x:c r="C12" s="50"/>
      <x:c r="D12" s="50"/>
      <x:c r="E12" s="50"/>
      <x:c r="F12" s="50"/>
      <x:c r="G12" s="50"/>
      <x:c r="H12" s="50"/>
    </x:row>
    <x:row r="13" ht="20" customHeight="1">
      <x:c r="A13" s="50"/>
      <x:c r="B13" s="50"/>
      <x:c r="C13" s="50"/>
      <x:c r="D13" s="50"/>
      <x:c r="E13" s="50"/>
      <x:c r="F13" s="50"/>
      <x:c r="G13" s="50"/>
      <x:c r="H13" s="50"/>
    </x:row>
    <x:row r="14" ht="20" customHeight="1">
      <x:c r="A14" s="50"/>
      <x:c r="B14" s="50"/>
      <x:c r="C14" s="50"/>
      <x:c r="D14" s="50"/>
      <x:c r="E14" s="50"/>
      <x:c r="F14" s="50"/>
      <x:c r="G14" s="50"/>
      <x:c r="H14" s="50"/>
    </x:row>
    <x:row r="15" ht="20" customHeight="1">
      <x:c r="A15" s="58" t="str">
        <x:v>Leitura do status</x:v>
      </x:c>
      <x:c r="B15" s="58"/>
      <x:c r="C15" s="58"/>
      <x:c r="D15" s="58"/>
      <x:c r="E15" s="58"/>
      <x:c r="F15" s="58"/>
      <x:c r="G15" s="58"/>
      <x:c r="H15" s="58"/>
    </x:row>
    <x:row r="16" ht="20" customHeight="1">
      <x:c r="A16" s="59" t="str">
        <x:v>Concluído</x:v>
      </x:c>
      <x:c r="B16" s="60" t="str">
        <x:v>Existe implementação e evidência verificável no repositório.</x:v>
      </x:c>
      <x:c r="C16" s="50"/>
      <x:c r="D16" s="50"/>
      <x:c r="E16" s="50"/>
      <x:c r="F16" s="50"/>
      <x:c r="G16" s="50"/>
      <x:c r="H16" s="50"/>
    </x:row>
    <x:row r="17" ht="20" customHeight="1">
      <x:c r="A17" s="59" t="str">
        <x:v>Parcial</x:v>
      </x:c>
      <x:c r="B17" s="60" t="str">
        <x:v>Há base implementada, mas faltam entregáveis ou critérios de aceite.</x:v>
      </x:c>
      <x:c r="C17" s="50"/>
      <x:c r="D17" s="50"/>
      <x:c r="E17" s="50"/>
      <x:c r="F17" s="50"/>
      <x:c r="G17" s="50"/>
      <x:c r="H17" s="50"/>
    </x:row>
    <x:row r="18" ht="20" customHeight="1">
      <x:c r="A18" s="59" t="str">
        <x:v>Planejado</x:v>
      </x:c>
      <x:c r="B18" s="60" t="str">
        <x:v>A atividade está documentada, sem implementação verificável.</x:v>
      </x:c>
      <x:c r="C18" s="50"/>
      <x:c r="D18" s="50"/>
      <x:c r="E18" s="50"/>
      <x:c r="F18" s="50"/>
      <x:c r="G18" s="50"/>
      <x:c r="H18" s="50"/>
    </x:row>
    <x:row r="19" ht="20" customHeight="1">
      <x:c r="A19" s="59" t="str">
        <x:v>Bloqueado</x:v>
      </x:c>
      <x:c r="B19" s="60" t="str">
        <x:v>Depende de evidência, aprovação, infraestrutura ou etapa anterior.</x:v>
      </x:c>
      <x:c r="C19" s="50"/>
      <x:c r="D19" s="50"/>
      <x:c r="E19" s="50"/>
      <x:c r="F19" s="50"/>
      <x:c r="G19" s="50"/>
      <x:c r="H19" s="50"/>
    </x:row>
    <x:row r="20" ht="20" customHeight="1">
      <x:c r="A20" s="50"/>
      <x:c r="B20" s="50"/>
      <x:c r="C20" s="50"/>
      <x:c r="D20" s="50"/>
      <x:c r="E20" s="50"/>
      <x:c r="F20" s="50"/>
      <x:c r="G20" s="50"/>
      <x:c r="H20" s="50"/>
    </x:row>
    <x:row r="21" ht="20" customHeight="1">
      <x:c r="A21" s="50"/>
      <x:c r="B21" s="50"/>
      <x:c r="C21" s="50"/>
      <x:c r="D21" s="50"/>
      <x:c r="E21" s="50"/>
      <x:c r="F21" s="50"/>
      <x:c r="G21" s="50"/>
      <x:c r="H21" s="50"/>
    </x:row>
    <x:row r="22" ht="20" customHeight="1">
      <x:c r="A22" s="58" t="str">
        <x:v>Fontes usadas na classificação</x:v>
      </x:c>
      <x:c r="B22" s="58"/>
      <x:c r="C22" s="58"/>
      <x:c r="D22" s="58"/>
      <x:c r="E22" s="58"/>
      <x:c r="F22" s="58"/>
      <x:c r="G22" s="58"/>
      <x:c r="H22" s="58"/>
    </x:row>
    <x:row r="23" ht="20" customHeight="1">
      <x:c r="A23" s="59" t="str">
        <x:v>Planejamento</x:v>
      </x:c>
      <x:c r="B23" s="60" t="str">
        <x:v>PLANEJAMENTO_MESTRE.md e docs/BACKLOG_INICIAL.md</x:v>
      </x:c>
      <x:c r="C23" s="50"/>
      <x:c r="D23" s="50"/>
      <x:c r="E23" s="50"/>
      <x:c r="F23" s="50"/>
      <x:c r="G23" s="50"/>
      <x:c r="H23" s="50"/>
    </x:row>
    <x:row r="24" ht="20" customHeight="1">
      <x:c r="A24" s="59" t="str">
        <x:v>Contratos</x:v>
      </x:c>
      <x:c r="B24" s="60" t="str">
        <x:v>schemas/, docs/CONTRATO_V1.md e docs/CONTRATO_V2.md</x:v>
      </x:c>
      <x:c r="C24" s="50"/>
      <x:c r="D24" s="50"/>
      <x:c r="E24" s="50"/>
      <x:c r="F24" s="50"/>
      <x:c r="G24" s="50"/>
      <x:c r="H24" s="50"/>
    </x:row>
    <x:row r="25" ht="20" customHeight="1">
      <x:c r="A25" s="59" t="str">
        <x:v>Implementação</x:v>
      </x:c>
      <x:c r="B25" s="60" t="str">
        <x:v>src/plataforma_ltft/, app.py, tools/ e examples/</x:v>
      </x:c>
      <x:c r="C25" s="50"/>
      <x:c r="D25" s="50"/>
      <x:c r="E25" s="50"/>
      <x:c r="F25" s="50"/>
      <x:c r="G25" s="50"/>
      <x:c r="H25" s="50"/>
    </x:row>
    <x:row r="26" ht="20" customHeight="1">
      <x:c r="A26" s="59" t="str">
        <x:v>Validação</x:v>
      </x:c>
      <x:c r="B26" s="60" t="str">
        <x:v>tests/ — 32 testes aprovados na auditoria</x:v>
      </x:c>
      <x:c r="C26" s="50"/>
      <x:c r="D26" s="50"/>
      <x:c r="E26" s="50"/>
      <x:c r="F26" s="50"/>
      <x:c r="G26" s="50"/>
      <x:c r="H26" s="50"/>
    </x:row>
    <x:row r="27" ht="20" customHeight="1">
      <x:c r="A27" s="59" t="str">
        <x:v>Publicação</x:v>
      </x:c>
      <x:c r="B27" s="60" t="str">
        <x:v>GitHub reacao-fischer-tropsch e protótipo Streamlit público</x:v>
      </x:c>
      <x:c r="C27" s="50"/>
      <x:c r="D27" s="50"/>
      <x:c r="E27" s="50"/>
      <x:c r="F27" s="50"/>
      <x:c r="G27" s="50"/>
      <x:c r="H27" s="50"/>
    </x:row>
    <x:row r="28" ht="20" customHeight="1">
      <x:c r="A28" s="50"/>
      <x:c r="B28" s="50"/>
      <x:c r="C28" s="50"/>
      <x:c r="D28" s="50"/>
      <x:c r="E28" s="50"/>
      <x:c r="F28" s="50"/>
      <x:c r="G28" s="50"/>
      <x:c r="H28" s="50"/>
    </x:row>
    <x:row r="29" ht="26" customHeight="1">
      <x:c r="A29" s="41" t="str">
        <x:v>Observação: o status descreve o estado verificado dos artefatos. Planejamento ou publicação isolados não equivalem a validação científica, homologação ou produção.</x:v>
      </x:c>
      <x:c r="B29" s="42"/>
      <x:c r="C29" s="42"/>
      <x:c r="D29" s="42"/>
      <x:c r="E29" s="42"/>
      <x:c r="F29" s="42"/>
      <x:c r="G29" s="42"/>
      <x:c r="H29" s="43"/>
    </x:row>
    <x:row r="30" ht="26" customHeight="1">
      <x:c r="A30" s="44"/>
      <x:c r="B30" s="45"/>
      <x:c r="C30" s="45"/>
      <x:c r="D30" s="45"/>
      <x:c r="E30" s="45"/>
      <x:c r="F30" s="45"/>
      <x:c r="G30" s="45"/>
      <x:c r="H30" s="46"/>
    </x:row>
  </x:sheetData>
  <x:mergeCells>
    <x:mergeCell ref="A2:H2"/>
    <x:mergeCell ref="A3:H3"/>
    <x:mergeCell ref="A15:H15"/>
    <x:mergeCell ref="A22:H22"/>
    <x:mergeCell ref="A29:H30"/>
  </x:mergeCells>
  <x:pageMargins left="0.7" right="0.7" top="0.75" bottom="0.75" header="0.3" footer="0.3"/>
  <x:drawing xmlns:r="http://schemas.openxmlformats.org/officeDocument/2006/relationships" r:id="R49ef37620c3e458e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1" hidden="0" customWidth="1"/>
    <x:col min="2" max="2" width="10" hidden="0" customWidth="1"/>
    <x:col min="3" max="3" width="20" hidden="0" customWidth="1"/>
    <x:col min="4" max="4" width="27" hidden="0" customWidth="1"/>
    <x:col min="5" max="5" width="43" hidden="0" customWidth="1"/>
    <x:col min="6" max="6" width="56" hidden="0" customWidth="1"/>
    <x:col min="7" max="7" width="14" hidden="0" customWidth="1"/>
    <x:col min="8" max="8" width="55" hidden="0" customWidth="1"/>
    <x:col min="9" max="9" width="50" hidden="0" customWidth="1"/>
  </x:cols>
  <x:sheetData>
    <x:row r="2">
      <x:c r="A2" s="1" t="str">
        <x:v>Backlog auditado da Plataforma Reação Fischer–Tropsch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Status baseado em artefatos existentes no repositório; atualize a coluna Status após cada entrega e registre a nova evidência.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71" t="str">
        <x:v>ID</x:v>
      </x:c>
      <x:c r="B4" s="72" t="str">
        <x:v>Prioridade</x:v>
      </x:c>
      <x:c r="C4" s="72" t="str">
        <x:v>Fase</x:v>
      </x:c>
      <x:c r="D4" s="72" t="str">
        <x:v>Atividade</x:v>
      </x:c>
      <x:c r="E4" s="72" t="str">
        <x:v>Objetivo</x:v>
      </x:c>
      <x:c r="F4" s="72" t="str">
        <x:v>O que se faz</x:v>
      </x:c>
      <x:c r="G4" s="72" t="str">
        <x:v>Status</x:v>
      </x:c>
      <x:c r="H4" s="72" t="str">
        <x:v>Evidência verificada</x:v>
      </x:c>
      <x:c r="I4" s="73" t="str">
        <x:v>Próxima ação</x:v>
      </x:c>
    </x:row>
    <x:row r="5" ht="54" customHeight="1">
      <x:c r="A5" s="84" t="str">
        <x:v>FT-001</x:v>
      </x:c>
      <x:c r="B5" s="84" t="str">
        <x:v>P0</x:v>
      </x:c>
      <x:c r="C5" s="84" t="str">
        <x:v>Fundação</x:v>
      </x:c>
      <x:c r="D5" s="81" t="str">
        <x:v>Charter e fronteira científica</x:v>
      </x:c>
      <x:c r="E5" s="81" t="str">
        <x:v>Formalizar propósito, escopo, exclusões, responsáveis e critérios de decisão.</x:v>
      </x:c>
      <x:c r="F5" s="81" t="str">
        <x:v>Revisar e aprovar o charter; registrar o que a plataforma pode e não pode afirmar; nomear responsáveis pelas portas científicas.</x:v>
      </x:c>
      <x:c r="G5" s="84" t="str">
        <x:v>Parcial</x:v>
      </x:c>
      <x:c r="H5" s="81" t="str">
        <x:v>PLANEJAMENTO_MESTRE.md e limites científicos já documentados; não há registro de aprovação formal nem responsáveis nomeados.</x:v>
      </x:c>
      <x:c r="I5" s="81" t="str">
        <x:v>Aprovar o charter e registrar responsáveis por produto, ciência, dados e operação.</x:v>
      </x:c>
    </x:row>
    <x:row r="6" ht="54" customHeight="1">
      <x:c r="A6" s="85" t="str">
        <x:v>FT-002</x:v>
      </x:c>
      <x:c r="B6" s="85" t="str">
        <x:v>P0</x:v>
      </x:c>
      <x:c r="C6" s="85" t="str">
        <x:v>Fundação</x:v>
      </x:c>
      <x:c r="D6" s="82" t="str">
        <x:v>Taxonomia LTFT/HTFT</x:v>
      </x:c>
      <x:c r="E6" s="82" t="str">
        <x:v>Separar regimes para evitar transferência indevida de modelos e evidências.</x:v>
      </x:c>
      <x:c r="F6" s="82" t="str">
        <x:v>Versionar envelopes LTFT, transição e HTFT; exigir justificativa na transição; testar as fronteiras de temperatura.</x:v>
      </x:c>
      <x:c r="G6" s="85" t="str">
        <x:v>Concluído</x:v>
      </x:c>
      <x:c r="H6" s="82" t="str">
        <x:v>Contrato v2, ESCOPO_LTFT_HTFT.md, classify_ft_regime e testes em 260/280 °C.</x:v>
      </x:c>
      <x:c r="I6" s="82" t="str">
        <x:v>Manter versionamento do envelope e revisar quando houver evidência aprovada.</x:v>
      </x:c>
    </x:row>
    <x:row r="7" ht="54" customHeight="1">
      <x:c r="A7" s="85" t="str">
        <x:v>FT-003</x:v>
      </x:c>
      <x:c r="B7" s="85" t="str">
        <x:v>P0</x:v>
      </x:c>
      <x:c r="C7" s="85" t="str">
        <x:v>Fundação</x:v>
      </x:c>
      <x:c r="D7" s="82" t="str">
        <x:v>Unidades canônicas</x:v>
      </x:c>
      <x:c r="E7" s="82" t="str">
        <x:v>Padronizar entrada, armazenamento e comparação de grandezas.</x:v>
      </x:c>
      <x:c r="F7" s="82" t="str">
        <x:v>Definir catálogo de unidades, conversões, precisão, validações dimensionais e conservação das unidades originais.</x:v>
      </x:c>
      <x:c r="G7" s="85" t="str">
        <x:v>Parcial</x:v>
      </x:c>
      <x:c r="H7" s="82" t="str">
        <x:v>CONTRATO_V1.md e campos com sufixos canônicos; validações numéricas existem, mas não há catálogo/conversor completo.</x:v>
      </x:c>
      <x:c r="I7" s="82" t="str">
        <x:v>Criar módulo de unidades e testes de conversão para todas as grandezas do contrato v2.</x:v>
      </x:c>
    </x:row>
    <x:row r="8" ht="54" customHeight="1">
      <x:c r="A8" s="85" t="str">
        <x:v>FT-004</x:v>
      </x:c>
      <x:c r="B8" s="85" t="str">
        <x:v>P0</x:v>
      </x:c>
      <x:c r="C8" s="85" t="str">
        <x:v>Fundação</x:v>
      </x:c>
      <x:c r="D8" s="82" t="str">
        <x:v>Contrato de caso</x:v>
      </x:c>
      <x:c r="E8" s="82" t="str">
        <x:v>Garantir casos completos, versionados e reproduzíveis.</x:v>
      </x:c>
      <x:c r="F8" s="82" t="str">
        <x:v>Definir schemas, campos obrigatórios e condicionais, exemplos válidos/inválidos e migração v1→v2.</x:v>
      </x:c>
      <x:c r="G8" s="85" t="str">
        <x:v>Concluído</x:v>
      </x:c>
      <x:c r="H8" s="82" t="str">
        <x:v>ltft-case-v1.schema.json, ft-case-v2.schema.json, exemplos, migração explícita e testes.</x:v>
      </x:c>
      <x:c r="I8" s="82" t="str">
        <x:v>Evoluir o v2 somente por migração versionada e ampliar campos experimentais.</x:v>
      </x:c>
    </x:row>
    <x:row r="9" ht="54" customHeight="1">
      <x:c r="A9" s="85" t="str">
        <x:v>FT-005</x:v>
      </x:c>
      <x:c r="B9" s="85" t="str">
        <x:v>P0</x:v>
      </x:c>
      <x:c r="C9" s="85" t="str">
        <x:v>Fundação</x:v>
      </x:c>
      <x:c r="D9" s="82" t="str">
        <x:v>Contrato de catalisador</x:v>
      </x:c>
      <x:c r="E9" s="82" t="str">
        <x:v>Representar composição, preparação, fase e proveniência sem confundir hipótese com medição.</x:v>
      </x:c>
      <x:c r="F9" s="82" t="str">
        <x:v>Criar entidade/schema próprio para lote, precursor, suporte, promotor, carga, preparação, ativação e caracterização.</x:v>
      </x:c>
      <x:c r="G9" s="85" t="str">
        <x:v>Parcial</x:v>
      </x:c>
      <x:c r="H9" s="82" t="str">
        <x:v>LTFTCase já contém família, fase hipotética, suporte, carga, promotor, precursor e ativação; falta contrato dedicado e lote/caracterização.</x:v>
      </x:c>
      <x:c r="I9" s="82" t="str">
        <x:v>Criar catalyst-v1.schema.json e exemplos de Co, Fe e sistema exploratório.</x:v>
      </x:c>
    </x:row>
    <x:row r="10" ht="54" customHeight="1">
      <x:c r="A10" s="85" t="str">
        <x:v>FT-006</x:v>
      </x:c>
      <x:c r="B10" s="85" t="str">
        <x:v>P0</x:v>
      </x:c>
      <x:c r="C10" s="85" t="str">
        <x:v>Fundação</x:v>
      </x:c>
      <x:c r="D10" s="82" t="str">
        <x:v>Contrato de evidência</x:v>
      </x:c>
      <x:c r="E10" s="82" t="str">
        <x:v>Tornar cada dado rastreável e governado por licença e revisão.</x:v>
      </x:c>
      <x:c r="F10" s="82" t="str">
        <x:v>Registrar origem, licença, método, unidade, condição, incerteza, status de revisão e hash do artefato.</x:v>
      </x:c>
      <x:c r="G10" s="85" t="str">
        <x:v>Concluído</x:v>
      </x:c>
      <x:c r="H10" s="82" t="str">
        <x:v>ltft-evidence-v1.schema.json, evidence-csv-specs-v1.json, manifesto/auditoria e testes estruturais.</x:v>
      </x:c>
      <x:c r="I10" s="82" t="str">
        <x:v>Adicionar fluxos de promoção de extraído para verificado/aprovado e responsáveis.</x:v>
      </x:c>
    </x:row>
    <x:row r="11" ht="54" customHeight="1">
      <x:c r="A11" s="85" t="str">
        <x:v>FT-007</x:v>
      </x:c>
      <x:c r="B11" s="85" t="str">
        <x:v>P0</x:v>
      </x:c>
      <x:c r="C11" s="85" t="str">
        <x:v>Fundação</x:v>
      </x:c>
      <x:c r="D11" s="82" t="str">
        <x:v>Contrato de resultado</x:v>
      </x:c>
      <x:c r="E11" s="82" t="str">
        <x:v>Evitar que saídas sejam interpretadas além da evidência disponível.</x:v>
      </x:c>
      <x:c r="F11" s="82" t="str">
        <x:v>Versionar resultado, regime, origem de alpha, prontidão, bloqueios e avisos científicos.</x:v>
      </x:c>
      <x:c r="G11" s="85" t="str">
        <x:v>Concluído</x:v>
      </x:c>
      <x:c r="H11" s="82" t="str">
        <x:v>ltft-result-v1.schema.json, ft-result-v2.schema.json e saídas com recommendation_blocked.</x:v>
      </x:c>
      <x:c r="I11" s="82" t="str">
        <x:v>Adicionar identificadores de dados, código e configuração usados em cada execução.</x:v>
      </x:c>
    </x:row>
    <x:row r="12" ht="54" customHeight="1">
      <x:c r="A12" s="85" t="str">
        <x:v>FT-008</x:v>
      </x:c>
      <x:c r="B12" s="85" t="str">
        <x:v>P0</x:v>
      </x:c>
      <x:c r="C12" s="85" t="str">
        <x:v>Fundação</x:v>
      </x:c>
      <x:c r="D12" s="82" t="str">
        <x:v>Worker determinístico</x:v>
      </x:c>
      <x:c r="E12" s="82" t="str">
        <x:v>Executar casos por JSON de forma repetível e auditável.</x:v>
      </x:c>
      <x:c r="F12" s="82" t="str">
        <x:v>Validar configuração, migrar contrato quando permitido, executar motor e gravar resultado versionado.</x:v>
      </x:c>
      <x:c r="G12" s="85" t="str">
        <x:v>Concluído</x:v>
      </x:c>
      <x:c r="H12" s="82" t="str">
        <x:v>src/plataforma_ltft/worker.py, exemplos e testes ponta a ponta para LTFT, produto e HTFT.</x:v>
      </x:c>
      <x:c r="I12" s="82" t="str">
        <x:v>Adicionar identificador de execução, hash de entrada e idempotência persistida.</x:v>
      </x:c>
    </x:row>
    <x:row r="13" ht="54" customHeight="1">
      <x:c r="A13" s="85" t="str">
        <x:v>FT-009</x:v>
      </x:c>
      <x:c r="B13" s="85" t="str">
        <x:v>P0</x:v>
      </x:c>
      <x:c r="C13" s="85" t="str">
        <x:v>Fundação</x:v>
      </x:c>
      <x:c r="D13" s="82" t="str">
        <x:v>Testes de limites</x:v>
      </x:c>
      <x:c r="E13" s="82" t="str">
        <x:v>Prevenir regressões em regras, unidades e fronteiras científicas.</x:v>
      </x:c>
      <x:c r="F13" s="82" t="str">
        <x:v>Cobrir casos positivos, negativos, condicionais, fronteiras de regime, schemas e bloqueios cruzados.</x:v>
      </x:c>
      <x:c r="G13" s="85" t="str">
        <x:v>Concluído</x:v>
      </x:c>
      <x:c r="H13" s="82" t="str">
        <x:v>32 testes aprovados, incluindo 260/280 °C, migração, HTFT, ASF, evidências e Streamlit.</x:v>
      </x:c>
      <x:c r="I13" s="82" t="str">
        <x:v>Adicionar CI para executar automaticamente a suíte em cada mudança.</x:v>
      </x:c>
    </x:row>
    <x:row r="14" ht="54" customHeight="1">
      <x:c r="A14" s="85" t="str">
        <x:v>FT-010</x:v>
      </x:c>
      <x:c r="B14" s="85" t="str">
        <x:v>P0</x:v>
      </x:c>
      <x:c r="C14" s="85" t="str">
        <x:v>Fundação</x:v>
      </x:c>
      <x:c r="D14" s="82" t="str">
        <x:v>CI mínima</x:v>
      </x:c>
      <x:c r="E14" s="82" t="str">
        <x:v>Validar automaticamente código e schemas antes da integração.</x:v>
      </x:c>
      <x:c r="F14" s="82" t="str">
        <x:v>Configurar workflow GitHub para testes, validação de schemas e verificação de estilo/artefatos.</x:v>
      </x:c>
      <x:c r="G14" s="85" t="str">
        <x:v>Planejado</x:v>
      </x:c>
      <x:c r="H14" s="82" t="str">
        <x:v>Não existe diretório .github/workflows no repositório.</x:v>
      </x:c>
      <x:c r="I14" s="82" t="str">
        <x:v>Criar workflow de CI para Python suportado e proteger a branch principal.</x:v>
      </x:c>
    </x:row>
    <x:row r="15" ht="54" customHeight="1">
      <x:c r="A15" s="85" t="str">
        <x:v>FT-011</x:v>
      </x:c>
      <x:c r="B15" s="85" t="str">
        <x:v>P1</x:v>
      </x:c>
      <x:c r="C15" s="85" t="str">
        <x:v>LTFT mínimo</x:v>
      </x:c>
      <x:c r="D15" s="82" t="str">
        <x:v>Seleção de produto</x:v>
      </x:c>
      <x:c r="E15" s="82" t="str">
        <x:v>Iniciar o planejamento pelo hidrocarboneto ou corte desejado.</x:v>
      </x:c>
      <x:c r="F15" s="82" t="str">
        <x:v>Aceitar C1–C60, cortes padronizados e aliases; normalizar o alvo e informar limitações.</x:v>
      </x:c>
      <x:c r="G15" s="85" t="str">
        <x:v>Concluído</x:v>
      </x:c>
      <x:c r="H15" s="82" t="str">
        <x:v>product_targets.py, exemplos, interface e testes de aliases, faixas e hidrocarboneto individual.</x:v>
      </x:c>
      <x:c r="I15" s="82" t="str">
        <x:v>Adicionar base de seletividade e requisitos de upgrading por alvo.</x:v>
      </x:c>
    </x:row>
    <x:row r="16" ht="54" customHeight="1">
      <x:c r="A16" s="85" t="str">
        <x:v>FT-012</x:v>
      </x:c>
      <x:c r="B16" s="85" t="str">
        <x:v>P1</x:v>
      </x:c>
      <x:c r="C16" s="85" t="str">
        <x:v>LTFT mínimo</x:v>
      </x:c>
      <x:c r="D16" s="82" t="str">
        <x:v>ASF em base de carbono</x:v>
      </x:c>
      <x:c r="E16" s="82" t="str">
        <x:v>Oferecer referência matemática transparente para distribuição de produtos.</x:v>
      </x:c>
      <x:c r="F16" s="82" t="str">
        <x:v>Calcular frações exclusivas por faixa, fechamento, cauda e alpha ótimo matemático para o alvo.</x:v>
      </x:c>
      <x:c r="G16" s="85" t="str">
        <x:v>Concluído</x:v>
      </x:c>
      <x:c r="H16" s="82" t="str">
        <x:v>asf.py, screening.py e testes de fechamento e máximos matemáticos.</x:v>
      </x:c>
      <x:c r="I16" s="82" t="str">
        <x:v>Adicionar comparação com dados medidos e propagação de incerteza.</x:v>
      </x:c>
    </x:row>
    <x:row r="17" ht="54" customHeight="1">
      <x:c r="A17" s="85" t="str">
        <x:v>FT-013</x:v>
      </x:c>
      <x:c r="B17" s="85" t="str">
        <x:v>P1</x:v>
      </x:c>
      <x:c r="C17" s="85" t="str">
        <x:v>LTFT mínimo</x:v>
      </x:c>
      <x:c r="D17" s="82" t="str">
        <x:v>Caso experimental completo</x:v>
      </x:c>
      <x:c r="E17" s="82" t="str">
        <x:v>Registrar condições necessárias para interpretar e reproduzir um ensaio.</x:v>
      </x:c>
      <x:c r="F17" s="82" t="str">
        <x:v>Capturar reator, alimentação, ativação, vazão, GHSV/WHSV, leito, massa, tempo e condições.</x:v>
      </x:c>
      <x:c r="G17" s="85" t="str">
        <x:v>Parcial</x:v>
      </x:c>
      <x:c r="H17" s="82" t="str">
        <x:v>Contrato inclui vários campos e exemplo experimental completo; faltam gradiente térmico, método analítico, replicatas e estado estacionário.</x:v>
      </x:c>
      <x:c r="I17" s="82" t="str">
        <x:v>Ampliar contrato v2 com qualidade analítica, temperaturas múltiplas e replicatas.</x:v>
      </x:c>
    </x:row>
    <x:row r="18" ht="54" customHeight="1">
      <x:c r="A18" s="85" t="str">
        <x:v>FT-014</x:v>
      </x:c>
      <x:c r="B18" s="85" t="str">
        <x:v>P1</x:v>
      </x:c>
      <x:c r="C18" s="85" t="str">
        <x:v>LTFT mínimo</x:v>
      </x:c>
      <x:c r="D18" s="82" t="str">
        <x:v>Balanço de carbono</x:v>
      </x:c>
      <x:c r="E18" s="82" t="str">
        <x:v>Verificar consistência material antes de usar dados em modelos.</x:v>
      </x:c>
      <x:c r="F18" s="82" t="str">
        <x:v>Calcular entrada/saída de carbono, incluir CO2 e espécies não identificadas, aplicar tolerância versionada e emitir relatório.</x:v>
      </x:c>
      <x:c r="G18" s="85" t="str">
        <x:v>Parcial</x:v>
      </x:c>
      <x:c r="H18" s="82" t="str">
        <x:v>Auditoria verifica fechamento de seletividades; ainda não calcula balanço material completo de carbono.</x:v>
      </x:c>
      <x:c r="I18" s="82" t="str">
        <x:v>Definir tolerância e implementar módulo de balanço com casos sintéticos.</x:v>
      </x:c>
    </x:row>
    <x:row r="19" ht="54" customHeight="1">
      <x:c r="A19" s="85" t="str">
        <x:v>FT-015</x:v>
      </x:c>
      <x:c r="B19" s="85" t="str">
        <x:v>P1</x:v>
      </x:c>
      <x:c r="C19" s="85" t="str">
        <x:v>LTFT mínimo</x:v>
      </x:c>
      <x:c r="D19" s="82" t="str">
        <x:v>Balanços de H/O</x:v>
      </x:c>
      <x:c r="E19" s="82" t="str">
        <x:v>Avaliar consistência de hidrogênio, oxigênio, água e CO2.</x:v>
      </x:c>
      <x:c r="F19" s="82" t="str">
        <x:v>Definir espécies/bases, calcular fechamentos H e O e propagar incerteza.</x:v>
      </x:c>
      <x:c r="G19" s="85" t="str">
        <x:v>Planejado</x:v>
      </x:c>
      <x:c r="H19" s="82" t="str">
        <x:v>Não há módulo nem campos suficientes para balanços completos de H/O.</x:v>
      </x:c>
      <x:c r="I19" s="82" t="str">
        <x:v>Aprovar contrato analítico e implementar após o balanço de carbono.</x:v>
      </x:c>
    </x:row>
    <x:row r="20" ht="54" customHeight="1">
      <x:c r="A20" s="85" t="str">
        <x:v>FT-016</x:v>
      </x:c>
      <x:c r="B20" s="85" t="str">
        <x:v>P1</x:v>
      </x:c>
      <x:c r="C20" s="85" t="str">
        <x:v>LTFT mínimo</x:v>
      </x:c>
      <x:c r="D20" s="82" t="str">
        <x:v>Auditor de evidência</x:v>
      </x:c>
      <x:c r="E20" s="82" t="str">
        <x:v>Impedir uso automático de dados incompletos ou incompatíveis.</x:v>
      </x:c>
      <x:c r="F20" s="82" t="str">
        <x:v>Validar cabeçalhos, tipos, duplicatas, limites, fechamento, manifesto, hash e compatibilidade contextual.</x:v>
      </x:c>
      <x:c r="G20" s="85" t="str">
        <x:v>Concluído</x:v>
      </x:c>
      <x:c r="H20" s="82" t="str">
        <x:v>evidence_validation.py, audit_evidence.py, VALIDACAO_EVIDENCIAS.md e testes.</x:v>
      </x:c>
      <x:c r="I20" s="82" t="str">
        <x:v>Integrar o auditor à interface e registrar revisão humana por evidência.</x:v>
      </x:c>
    </x:row>
    <x:row r="21" ht="54" customHeight="1">
      <x:c r="A21" s="85" t="str">
        <x:v>FT-017</x:v>
      </x:c>
      <x:c r="B21" s="85" t="str">
        <x:v>P1</x:v>
      </x:c>
      <x:c r="C21" s="85" t="str">
        <x:v>LTFT mínimo</x:v>
      </x:c>
      <x:c r="D21" s="82" t="str">
        <x:v>Comparação ASF/medição</x:v>
      </x:c>
      <x:c r="E21" s="82" t="str">
        <x:v>Quantificar onde a ASF descreve ou falha em descrever os produtos observados.</x:v>
      </x:c>
      <x:c r="F21" s="82" t="str">
        <x:v>Alinhar base de seletividade, calcular resíduos por Cn/faixa e mostrar incerteza e desvios C1/C2/cauda.</x:v>
      </x:c>
      <x:c r="G21" s="85" t="str">
        <x:v>Planejado</x:v>
      </x:c>
      <x:c r="H21" s="82" t="str">
        <x:v>A plataforma calcula ASF, mas não ingere medições aprovadas para comparação quantitativa.</x:v>
      </x:c>
      <x:c r="I21" s="82" t="str">
        <x:v>Definir formato de medição e implementar relatório de resíduos.</x:v>
      </x:c>
    </x:row>
    <x:row r="22" ht="54" customHeight="1">
      <x:c r="A22" s="85" t="str">
        <x:v>FT-018</x:v>
      </x:c>
      <x:c r="B22" s="85" t="str">
        <x:v>P1</x:v>
      </x:c>
      <x:c r="C22" s="85" t="str">
        <x:v>LTFT mínimo</x:v>
      </x:c>
      <x:c r="D22" s="82" t="str">
        <x:v>Interface LTFT</x:v>
      </x:c>
      <x:c r="E22" s="82" t="str">
        <x:v>Permitir executar o fluxo produto→caso→resultado de modo compreensível.</x:v>
      </x:c>
      <x:c r="F22" s="82" t="str">
        <x:v>Expor seleção de produto, entradas do caso, distribuição ASF, prontidão, limites e bloqueios.</x:v>
      </x:c>
      <x:c r="G22" s="85" t="str">
        <x:v>Concluído</x:v>
      </x:c>
      <x:c r="H22" s="82" t="str">
        <x:v>app.py testado e publicado no Streamlit com fluxo LTFT e avisos científicos.</x:v>
      </x:c>
      <x:c r="I22" s="82" t="str">
        <x:v>Adicionar persistência, evidências aplicáveis e exportação pelo usuário.</x:v>
      </x:c>
    </x:row>
    <x:row r="23" ht="54" customHeight="1">
      <x:c r="A23" s="85" t="str">
        <x:v>FT-019</x:v>
      </x:c>
      <x:c r="B23" s="85" t="str">
        <x:v>P1</x:v>
      </x:c>
      <x:c r="C23" s="85" t="str">
        <x:v>LTFT mínimo</x:v>
      </x:c>
      <x:c r="D23" s="82" t="str">
        <x:v>Exportação JSON/CSV</x:v>
      </x:c>
      <x:c r="E23" s="82" t="str">
        <x:v>Permitir reutilização e auditoria dos dados e resultados.</x:v>
      </x:c>
      <x:c r="F23" s="82" t="str">
        <x:v>Exportar entrada, resultado e tabelas em formatos versionados, com metadados e hashes.</x:v>
      </x:c>
      <x:c r="G23" s="85" t="str">
        <x:v>Parcial</x:v>
      </x:c>
      <x:c r="H23" s="82" t="str">
        <x:v>Worker exporta JSON reproduzível; não há exportação CSV completa pela interface.</x:v>
      </x:c>
      <x:c r="I23" s="82" t="str">
        <x:v>Implementar exportação CSV e pacote de execução com manifesto.</x:v>
      </x:c>
    </x:row>
    <x:row r="24" ht="54" customHeight="1">
      <x:c r="A24" s="85" t="str">
        <x:v>FT-020</x:v>
      </x:c>
      <x:c r="B24" s="85" t="str">
        <x:v>P1</x:v>
      </x:c>
      <x:c r="C24" s="85" t="str">
        <x:v>LTFT mínimo</x:v>
      </x:c>
      <x:c r="D24" s="82" t="str">
        <x:v>Relatório científico</x:v>
      </x:c>
      <x:c r="E24" s="82" t="str">
        <x:v>Consolidar premissas, evidências, resultados, incertezas e limitações.</x:v>
      </x:c>
      <x:c r="F24" s="82" t="str">
        <x:v>Gerar relatório legível e auditável com versão, entradas, método, bloqueios e referências.</x:v>
      </x:c>
      <x:c r="G24" s="85" t="str">
        <x:v>Parcial</x:v>
      </x:c>
      <x:c r="H24" s="82" t="str">
        <x:v>Resultado JSON e notebook existem; não há relatório científico final formatado.</x:v>
      </x:c>
      <x:c r="I24" s="82" t="str">
        <x:v>Definir template e gerar relatório a partir do contrato de resultado.</x:v>
      </x:c>
    </x:row>
    <x:row r="25" ht="54" customHeight="1">
      <x:c r="A25" s="85" t="str">
        <x:v>FT-021</x:v>
      </x:c>
      <x:c r="B25" s="85" t="str">
        <x:v>P2</x:v>
      </x:c>
      <x:c r="C25" s="85" t="str">
        <x:v>Validação LTFT</x:v>
      </x:c>
      <x:c r="D25" s="82" t="str">
        <x:v>Corpus LTFT aprovado</x:v>
      </x:c>
      <x:c r="E25" s="82" t="str">
        <x:v>Disponibilizar dados confiáveis e licenciáveis para validação/calibração.</x:v>
      </x:c>
      <x:c r="F25" s="82" t="str">
        <x:v>Curar fontes, conferir valores com tabelas originais, registrar licença, unidades, incerteza e aprovação.</x:v>
      </x:c>
      <x:c r="G25" s="85" t="str">
        <x:v>Bloqueado</x:v>
      </x:c>
      <x:c r="H25" s="82" t="str">
        <x:v>CSVs locais permanecem fora do repositório e não aprovados; o auditor impede calibração automática.</x:v>
      </x:c>
      <x:c r="I25" s="82" t="str">
        <x:v>Verificar licenças e leitura integral e aprovar um primeiro conjunto de uso.</x:v>
      </x:c>
    </x:row>
    <x:row r="26" ht="54" customHeight="1">
      <x:c r="A26" s="85" t="str">
        <x:v>FT-022</x:v>
      </x:c>
      <x:c r="B26" s="85" t="str">
        <x:v>P2</x:v>
      </x:c>
      <x:c r="C26" s="85" t="str">
        <x:v>Validação LTFT</x:v>
      </x:c>
      <x:c r="D26" s="82" t="str">
        <x:v>Compatibilidade de casos</x:v>
      </x:c>
      <x:c r="E26" s="82" t="str">
        <x:v>Evitar comparação entre experimentos incompatíveis.</x:v>
      </x:c>
      <x:c r="F26" s="82" t="str">
        <x:v>Criar regras para alimentação, reator, catalisador, base analítica e condições; explicar inclusão/exclusão.</x:v>
      </x:c>
      <x:c r="G26" s="85" t="str">
        <x:v>Parcial</x:v>
      </x:c>
      <x:c r="H26" s="82" t="str">
        <x:v>A auditoria calcula compatibilidade contextual, mas declara que isso não prova transferibilidade.</x:v>
      </x:c>
      <x:c r="I26" s="82" t="str">
        <x:v>Formalizar regras por caso de uso e validar com especialista.</x:v>
      </x:c>
    </x:row>
    <x:row r="27" ht="54" customHeight="1">
      <x:c r="A27" s="85" t="str">
        <x:v>FT-023</x:v>
      </x:c>
      <x:c r="B27" s="85" t="str">
        <x:v>P2</x:v>
      </x:c>
      <x:c r="C27" s="85" t="str">
        <x:v>Validação LTFT</x:v>
      </x:c>
      <x:c r="D27" s="82" t="str">
        <x:v>Domínio de aplicabilidade</x:v>
      </x:c>
      <x:c r="E27" s="82" t="str">
        <x:v>Bloquear extrapolações fora da cobertura dos dados/modelos.</x:v>
      </x:c>
      <x:c r="F27" s="82" t="str">
        <x:v>Definir variáveis, limites, distância/cobertura e mensagens de extrapolação testáveis.</x:v>
      </x:c>
      <x:c r="G27" s="85" t="str">
        <x:v>Planejado</x:v>
      </x:c>
      <x:c r="H27" s="82" t="str">
        <x:v>Não há modelo calibrado nem domínio quantitativo implementado.</x:v>
      </x:c>
      <x:c r="I27" s="82" t="str">
        <x:v>Implementar após aprovação do corpus e escolha do primeiro modelo.</x:v>
      </x:c>
    </x:row>
    <x:row r="28" ht="54" customHeight="1">
      <x:c r="A28" s="85" t="str">
        <x:v>FT-024</x:v>
      </x:c>
      <x:c r="B28" s="85" t="str">
        <x:v>P2</x:v>
      </x:c>
      <x:c r="C28" s="85" t="str">
        <x:v>Validação LTFT</x:v>
      </x:c>
      <x:c r="D28" s="82" t="str">
        <x:v>Modelo quantitativo inicial</x:v>
      </x:c>
      <x:c r="E28" s="82" t="str">
        <x:v>Estimar uma resposta definida dentro de domínio validado.</x:v>
      </x:c>
      <x:c r="F28" s="82" t="str">
        <x:v>Escolher equação/método, separar ajuste e teste, estimar incerteza e validar externamente.</x:v>
      </x:c>
      <x:c r="G28" s="85" t="str">
        <x:v>Bloqueado</x:v>
      </x:c>
      <x:c r="H28" s="82" t="str">
        <x:v>Faltam corpus aprovado, resposta-alvo, parâmetros, unidades e conjunto externo.</x:v>
      </x:c>
      <x:c r="I28" s="82" t="str">
        <x:v>Concluir FT-021 a FT-023 antes de selecionar o modelo.</x:v>
      </x:c>
    </x:row>
    <x:row r="29" ht="54" customHeight="1">
      <x:c r="A29" s="85" t="str">
        <x:v>FT-025</x:v>
      </x:c>
      <x:c r="B29" s="85" t="str">
        <x:v>P2</x:v>
      </x:c>
      <x:c r="C29" s="85" t="str">
        <x:v>Validação LTFT</x:v>
      </x:c>
      <x:c r="D29" s="82" t="str">
        <x:v>Análise de sensibilidade</x:v>
      </x:c>
      <x:c r="E29" s="82" t="str">
        <x:v>Mostrar efeito e robustez das variáveis no domínio aprovado.</x:v>
      </x:c>
      <x:c r="F29" s="82" t="str">
        <x:v>Variar entradas, propagar incerteza e reportar faixas sem extrapolar.</x:v>
      </x:c>
      <x:c r="G29" s="85" t="str">
        <x:v>Planejado</x:v>
      </x:c>
      <x:c r="H29" s="82" t="str">
        <x:v>Não há modelo quantitativo validado para suportar a análise.</x:v>
      </x:c>
      <x:c r="I29" s="82" t="str">
        <x:v>Implementar depois de FT-024, com testes de fronteira.</x:v>
      </x:c>
    </x:row>
    <x:row r="30" ht="54" customHeight="1">
      <x:c r="A30" s="85" t="str">
        <x:v>FT-026</x:v>
      </x:c>
      <x:c r="B30" s="85" t="str">
        <x:v>P2</x:v>
      </x:c>
      <x:c r="C30" s="85" t="str">
        <x:v>Validação LTFT</x:v>
      </x:c>
      <x:c r="D30" s="82" t="str">
        <x:v>Gerador de plano experimental</x:v>
      </x:c>
      <x:c r="E30" s="82" t="str">
        <x:v>Transformar objetivos e evidências em plano revisável.</x:v>
      </x:c>
      <x:c r="F30" s="82" t="str">
        <x:v>Gerar faixas, fatores, respostas, controles, replicatas, critérios de parada e campos de aprovação.</x:v>
      </x:c>
      <x:c r="G30" s="85" t="str">
        <x:v>Parcial</x:v>
      </x:c>
      <x:c r="H30" s="82" t="str">
        <x:v>product_targets.py fornece orientação qualitativa e mantém recomendação bloqueada; não gera DOE/protocolo completo.</x:v>
      </x:c>
      <x:c r="I30" s="82" t="str">
        <x:v>Definir template experimental e aprovação humana obrigatória.</x:v>
      </x:c>
    </x:row>
    <x:row r="31" ht="54" customHeight="1">
      <x:c r="A31" s="85" t="str">
        <x:v>FT-027</x:v>
      </x:c>
      <x:c r="B31" s="85" t="str">
        <x:v>P2</x:v>
      </x:c>
      <x:c r="C31" s="85" t="str">
        <x:v>Validação LTFT</x:v>
      </x:c>
      <x:c r="D31" s="82" t="str">
        <x:v>Piloto de laboratório</x:v>
      </x:c>
      <x:c r="E31" s="82" t="str">
        <x:v>Verificar utilidade e limites da plataforma em um ensaio real.</x:v>
      </x:c>
      <x:c r="F31" s="82" t="str">
        <x:v>Selecionar caso aprovado, executar protocolo, comparar previsão/orientação e registrar desvios.</x:v>
      </x:c>
      <x:c r="G31" s="85" t="str">
        <x:v>Bloqueado</x:v>
      </x:c>
      <x:c r="H31" s="82" t="str">
        <x:v>Não há plano experimental validado nem autorização/resultado de laboratório.</x:v>
      </x:c>
      <x:c r="I31" s="82" t="str">
        <x:v>Executar somente após FT-021 a FT-026 e revisão de segurança.</x:v>
      </x:c>
    </x:row>
    <x:row r="32" ht="54" customHeight="1">
      <x:c r="A32" s="85" t="str">
        <x:v>FT-028</x:v>
      </x:c>
      <x:c r="B32" s="85" t="str">
        <x:v>P3</x:v>
      </x:c>
      <x:c r="C32" s="85" t="str">
        <x:v>Preparação HTFT</x:v>
      </x:c>
      <x:c r="D32" s="82" t="str">
        <x:v>Caso de uso HTFT</x:v>
      </x:c>
      <x:c r="E32" s="82" t="str">
        <x:v>Definir um alvo HTFT específico e mensurável.</x:v>
      </x:c>
      <x:c r="F32" s="82" t="str">
        <x:v>Escolher produto, base de seletividade, alimentação, reator, família e critérios de sucesso.</x:v>
      </x:c>
      <x:c r="G32" s="85" t="str">
        <x:v>Parcial</x:v>
      </x:c>
      <x:c r="H32" s="82" t="str">
        <x:v>Planejamento e exemplo HTFT existem, mas o alvo inicial não foi formalmente aprovado.</x:v>
      </x:c>
      <x:c r="I32" s="82" t="str">
        <x:v>Aprovar olefinas leves, gasolina ou outro alvo e registrar responsáveis.</x:v>
      </x:c>
    </x:row>
    <x:row r="33" ht="54" customHeight="1">
      <x:c r="A33" s="85" t="str">
        <x:v>FT-029</x:v>
      </x:c>
      <x:c r="B33" s="85" t="str">
        <x:v>P3</x:v>
      </x:c>
      <x:c r="C33" s="85" t="str">
        <x:v>Preparação HTFT</x:v>
      </x:c>
      <x:c r="D33" s="82" t="str">
        <x:v>Schema HTFT</x:v>
      </x:c>
      <x:c r="E33" s="82" t="str">
        <x:v>Capturar fenômenos e métricas próprias de HTFT.</x:v>
      </x:c>
      <x:c r="F33" s="82" t="str">
        <x:v>Modelar Fe/promotores, fases, O/P por Cn, coque, gradientes, WGS e reações secundárias.</x:v>
      </x:c>
      <x:c r="G33" s="85" t="str">
        <x:v>Parcial</x:v>
      </x:c>
      <x:c r="H33" s="82" t="str">
        <x:v>Contrato v2 identifica HTFT e restringe a Fe, mas ainda não contém toda a taxonomia específica.</x:v>
      </x:c>
      <x:c r="I33" s="82" t="str">
        <x:v>Criar schema HTFT dedicado e exemplos positivos/negativos.</x:v>
      </x:c>
    </x:row>
    <x:row r="34" ht="54" customHeight="1">
      <x:c r="A34" s="85" t="str">
        <x:v>FT-030</x:v>
      </x:c>
      <x:c r="B34" s="85" t="str">
        <x:v>P3</x:v>
      </x:c>
      <x:c r="C34" s="85" t="str">
        <x:v>Preparação HTFT</x:v>
      </x:c>
      <x:c r="D34" s="82" t="str">
        <x:v>Bloqueio cruzado</x:v>
      </x:c>
      <x:c r="E34" s="82" t="str">
        <x:v>Impedir uso de regras/modelos LTFT em HTFT.</x:v>
      </x:c>
      <x:c r="F34" s="82" t="str">
        <x:v>Validar regime, temperatura e família; rejeitar combinações incompatíveis e manter recomendação bloqueada.</x:v>
      </x:c>
      <x:c r="G34" s="85" t="str">
        <x:v>Concluído</x:v>
      </x:c>
      <x:c r="H34" s="82" t="str">
        <x:v>domain.py, contrato v2 e testes rejeitam família LTFT no escopo HTFT e exigem regime consistente.</x:v>
      </x:c>
      <x:c r="I34" s="82" t="str">
        <x:v>Estender o bloqueio a futuros modelos e datasets por identificador de regime.</x:v>
      </x:c>
    </x:row>
    <x:row r="35" ht="54" customHeight="1">
      <x:c r="A35" s="85" t="str">
        <x:v>FT-031</x:v>
      </x:c>
      <x:c r="B35" s="85" t="str">
        <x:v>P3</x:v>
      </x:c>
      <x:c r="C35" s="85" t="str">
        <x:v>Preparação HTFT</x:v>
      </x:c>
      <x:c r="D35" s="82" t="str">
        <x:v>Corpus HTFT</x:v>
      </x:c>
      <x:c r="E35" s="82" t="str">
        <x:v>Criar base separada, rastreável e revisada para alta temperatura.</x:v>
      </x:c>
      <x:c r="F35" s="82" t="str">
        <x:v>Curar estudos HTFT compatíveis, licenças, condições, produtos, fases e reações secundárias.</x:v>
      </x:c>
      <x:c r="G35" s="85" t="str">
        <x:v>Bloqueado</x:v>
      </x:c>
      <x:c r="H35" s="82" t="str">
        <x:v>Não existe corpus HTFT aprovado no repositório.</x:v>
      </x:c>
      <x:c r="I35" s="82" t="str">
        <x:v>Definir protocolo de busca/extração após aprovação de FT-028/FT-029.</x:v>
      </x:c>
    </x:row>
    <x:row r="36" ht="54" customHeight="1">
      <x:c r="A36" s="85" t="str">
        <x:v>FT-032</x:v>
      </x:c>
      <x:c r="B36" s="85" t="str">
        <x:v>P3</x:v>
      </x:c>
      <x:c r="C36" s="85" t="str">
        <x:v>Preparação HTFT</x:v>
      </x:c>
      <x:c r="D36" s="82" t="str">
        <x:v>Balanços HTFT</x:v>
      </x:c>
      <x:c r="E36" s="82" t="str">
        <x:v>Validar CO2, água, C/H/O e produtos não identificados em HTFT.</x:v>
      </x:c>
      <x:c r="F36" s="82" t="str">
        <x:v>Implementar balanços com WGS, carbono/coque e espécies secundárias.</x:v>
      </x:c>
      <x:c r="G36" s="85" t="str">
        <x:v>Planejado</x:v>
      </x:c>
      <x:c r="H36" s="82" t="str">
        <x:v>Não há contrato analítico nem módulo de balanços HTFT.</x:v>
      </x:c>
      <x:c r="I36" s="82" t="str">
        <x:v>Executar após schema e corpus HTFT.</x:v>
      </x:c>
    </x:row>
    <x:row r="37" ht="54" customHeight="1">
      <x:c r="A37" s="85" t="str">
        <x:v>FT-033</x:v>
      </x:c>
      <x:c r="B37" s="85" t="str">
        <x:v>P3</x:v>
      </x:c>
      <x:c r="C37" s="85" t="str">
        <x:v>Preparação HTFT</x:v>
      </x:c>
      <x:c r="D37" s="82" t="str">
        <x:v>Interface HTFT bloqueada</x:v>
      </x:c>
      <x:c r="E37" s="82" t="str">
        <x:v>Permitir diagnóstico de completude sem emitir recomendação prematura.</x:v>
      </x:c>
      <x:c r="F37" s="82" t="str">
        <x:v>Oferecer seletor HTFT, valores iniciais compatíveis e avisos/bloqueio explícitos.</x:v>
      </x:c>
      <x:c r="G37" s="85" t="str">
        <x:v>Concluído</x:v>
      </x:c>
      <x:c r="H37" s="82" t="str">
        <x:v>Streamlit contém regime HTFT, família Fe, temperatura inicial 320 °C e aviso de preparação; teste de interface cobre o estado.</x:v>
      </x:c>
      <x:c r="I37" s="82" t="str">
        <x:v>Adicionar campos específicos HTFT quando FT-029 estiver concluída.</x:v>
      </x:c>
    </x:row>
    <x:row r="38" ht="54" customHeight="1">
      <x:c r="A38" s="85" t="str">
        <x:v>FT-034</x:v>
      </x:c>
      <x:c r="B38" s="85" t="str">
        <x:v>P3</x:v>
      </x:c>
      <x:c r="C38" s="85" t="str">
        <x:v>Preparação HTFT</x:v>
      </x:c>
      <x:c r="D38" s="82" t="str">
        <x:v>Validação HTFT</x:v>
      </x:c>
      <x:c r="E38" s="82" t="str">
        <x:v>Demonstrar desempenho fora da amostra e revisar cientificamente.</x:v>
      </x:c>
      <x:c r="F38" s="82" t="str">
        <x:v>Avaliar resíduos, incerteza, domínio, estabilidade, coque e transformação de fase.</x:v>
      </x:c>
      <x:c r="G38" s="85" t="str">
        <x:v>Bloqueado</x:v>
      </x:c>
      <x:c r="H38" s="82" t="str">
        <x:v>Faltam corpus, balanços e modelo HTFT.</x:v>
      </x:c>
      <x:c r="I38" s="82" t="str">
        <x:v>Concluir FT-028 a FT-033 antes de iniciar validação.</x:v>
      </x:c>
    </x:row>
    <x:row r="39" ht="54" customHeight="1">
      <x:c r="A39" s="85" t="str">
        <x:v>FT-035</x:v>
      </x:c>
      <x:c r="B39" s="85" t="str">
        <x:v>P4</x:v>
      </x:c>
      <x:c r="C39" s="85" t="str">
        <x:v>DFT</x:v>
      </x:c>
      <x:c r="D39" s="82" t="str">
        <x:v>Contrato estrutural</x:v>
      </x:c>
      <x:c r="E39" s="82" t="str">
        <x:v>Garantir que apenas estruturas completas e rastreáveis sejam usadas.</x:v>
      </x:c>
      <x:c r="F39" s="82" t="str">
        <x:v>Definir estrutura, proveniência, simetria, ocupação, carga, spin e estado de validação.</x:v>
      </x:c>
      <x:c r="G39" s="85" t="str">
        <x:v>Planejado</x:v>
      </x:c>
      <x:c r="H39" s="82" t="str">
        <x:v>DFT está documentado apenas como requisito; não há schema estrutural.</x:v>
      </x:c>
      <x:c r="I39" s="82" t="str">
        <x:v>Criar schema e exemplos válidos/inválidos antes de qualquer gerador.</x:v>
      </x:c>
    </x:row>
    <x:row r="40" ht="54" customHeight="1">
      <x:c r="A40" s="85" t="str">
        <x:v>FT-036</x:v>
      </x:c>
      <x:c r="B40" s="85" t="str">
        <x:v>P4</x:v>
      </x:c>
      <x:c r="C40" s="85" t="str">
        <x:v>DFT</x:v>
      </x:c>
      <x:c r="D40" s="82" t="str">
        <x:v>Protocolo de superfície</x:v>
      </x:c>
      <x:c r="E40" s="82" t="str">
        <x:v>Padronizar modelos de superfície comparáveis.</x:v>
      </x:c>
      <x:c r="F40" s="82" t="str">
        <x:v>Definir faceta, terminação, slab, vácuo, supercélula, cobertura e sítios.</x:v>
      </x:c>
      <x:c r="G40" s="85" t="str">
        <x:v>Planejado</x:v>
      </x:c>
      <x:c r="H40" s="82" t="str">
        <x:v>Não há protocolo executável de superfície.</x:v>
      </x:c>
      <x:c r="I40" s="82" t="str">
        <x:v>Aprovar protocolos separados para Co, Fe e carbetos relevantes.</x:v>
      </x:c>
    </x:row>
    <x:row r="41" ht="54" customHeight="1">
      <x:c r="A41" s="85" t="str">
        <x:v>FT-037</x:v>
      </x:c>
      <x:c r="B41" s="85" t="str">
        <x:v>P4</x:v>
      </x:c>
      <x:c r="C41" s="85" t="str">
        <x:v>DFT</x:v>
      </x:c>
      <x:c r="D41" s="82" t="str">
        <x:v>Protocolo de adsorção</x:v>
      </x:c>
      <x:c r="E41" s="82" t="str">
        <x:v>Calcular energia de adsorção com referências consistentes.</x:v>
      </x:c>
      <x:c r="F41" s="82" t="str">
        <x:v>Executar superfície limpa, adsorbato isolado e sistema adsorvido com parâmetros comparáveis.</x:v>
      </x:c>
      <x:c r="G41" s="85" t="str">
        <x:v>Planejado</x:v>
      </x:c>
      <x:c r="H41" s="82" t="str">
        <x:v>A fórmula e requisitos estão no planejamento, mas não há implementação.</x:v>
      </x:c>
      <x:c r="I41" s="82" t="str">
        <x:v>Definir adsorbatos, convenções e testes de consistência energética.</x:v>
      </x:c>
    </x:row>
    <x:row r="42" ht="54" customHeight="1">
      <x:c r="A42" s="85" t="str">
        <x:v>FT-038</x:v>
      </x:c>
      <x:c r="B42" s="85" t="str">
        <x:v>P4</x:v>
      </x:c>
      <x:c r="C42" s="85" t="str">
        <x:v>DFT</x:v>
      </x:c>
      <x:c r="D42" s="82" t="str">
        <x:v>Adaptador de engine</x:v>
      </x:c>
      <x:c r="E42" s="82" t="str">
        <x:v>Gerar entradas válidas para o programa computacional aprovado.</x:v>
      </x:c>
      <x:c r="F42" s="82" t="str">
        <x:v>Mapear contrato para engine, validar sintaxe e registrar versão/pseudopotenciais/bases.</x:v>
      </x:c>
      <x:c r="G42" s="85" t="str">
        <x:v>Planejado</x:v>
      </x:c>
      <x:c r="H42" s="82" t="str">
        <x:v>Nenhum engine ou adaptador foi aprovado/implementado.</x:v>
      </x:c>
      <x:c r="I42" s="82" t="str">
        <x:v>Escolher engine e criar adaptador somente após FT-035 a FT-037.</x:v>
      </x:c>
    </x:row>
    <x:row r="43" ht="54" customHeight="1">
      <x:c r="A43" s="85" t="str">
        <x:v>FT-039</x:v>
      </x:c>
      <x:c r="B43" s="85" t="str">
        <x:v>P4</x:v>
      </x:c>
      <x:c r="C43" s="85" t="str">
        <x:v>DFT</x:v>
      </x:c>
      <x:c r="D43" s="82" t="str">
        <x:v>Parser de saída</x:v>
      </x:c>
      <x:c r="E43" s="82" t="str">
        <x:v>Extrair resultados, convergência e falhas sem confundir arquivo com cálculo válido.</x:v>
      </x:c>
      <x:c r="F43" s="82" t="str">
        <x:v>Interpretar logs, energias, geometria, convergência e erros; gerar estado auditável.</x:v>
      </x:c>
      <x:c r="G43" s="85" t="str">
        <x:v>Planejado</x:v>
      </x:c>
      <x:c r="H43" s="82" t="str">
        <x:v>Não há execução ou parser DFT.</x:v>
      </x:c>
      <x:c r="I43" s="82" t="str">
        <x:v>Implementar junto ao primeiro adaptador e validar com saídas conhecidas.</x:v>
      </x:c>
    </x:row>
    <x:row r="44" ht="54" customHeight="1">
      <x:c r="A44" s="85" t="str">
        <x:v>FT-040</x:v>
      </x:c>
      <x:c r="B44" s="85" t="str">
        <x:v>P4</x:v>
      </x:c>
      <x:c r="C44" s="85" t="str">
        <x:v>DFT</x:v>
      </x:c>
      <x:c r="D44" s="82" t="str">
        <x:v>Relatório DFT</x:v>
      </x:c>
      <x:c r="E44" s="82" t="str">
        <x:v>Apresentar hipótese, protocolo, convergência e limitações separadas do experimento.</x:v>
      </x:c>
      <x:c r="F44" s="82" t="str">
        <x:v>Consolidar estruturas, parâmetros, energias, verificações e proveniência.</x:v>
      </x:c>
      <x:c r="G44" s="85" t="str">
        <x:v>Planejado</x:v>
      </x:c>
      <x:c r="H44" s="82" t="str">
        <x:v>Não há resultados DFT executados neste projeto.</x:v>
      </x:c>
      <x:c r="I44" s="82" t="str">
        <x:v>Criar template após parser validado; manter recomendação científica bloqueada.</x:v>
      </x:c>
    </x:row>
    <x:row r="45" ht="54" customHeight="1">
      <x:c r="A45" s="85" t="str">
        <x:v>FT-041</x:v>
      </x:c>
      <x:c r="B45" s="85" t="str">
        <x:v>P5</x:v>
      </x:c>
      <x:c r="C45" s="85" t="str">
        <x:v>Operação</x:v>
      </x:c>
      <x:c r="D45" s="82" t="str">
        <x:v>Banco e migrações</x:v>
      </x:c>
      <x:c r="E45" s="82" t="str">
        <x:v>Persistir entidades e versões com recuperação confiável.</x:v>
      </x:c>
      <x:c r="F45" s="82" t="str">
        <x:v>Implementar banco, migrações, armazenamento de artefatos, backup e teste de restauração.</x:v>
      </x:c>
      <x:c r="G45" s="85" t="str">
        <x:v>Planejado</x:v>
      </x:c>
      <x:c r="H45" s="82" t="str">
        <x:v>Execução atual é local/arquivo; não há banco ou migrações.</x:v>
      </x:c>
      <x:c r="I45" s="82" t="str">
        <x:v>Definir modelo relacional e estratégia de armazenamento.</x:v>
      </x:c>
    </x:row>
    <x:row r="46" ht="54" customHeight="1">
      <x:c r="A46" s="85" t="str">
        <x:v>FT-042</x:v>
      </x:c>
      <x:c r="B46" s="85" t="str">
        <x:v>P5</x:v>
      </x:c>
      <x:c r="C46" s="85" t="str">
        <x:v>Operação</x:v>
      </x:c>
      <x:c r="D46" s="82" t="str">
        <x:v>Autenticação e perfis</x:v>
      </x:c>
      <x:c r="E46" s="82" t="str">
        <x:v>Controlar acesso por menor privilégio e organização/projeto.</x:v>
      </x:c>
      <x:c r="F46" s="82" t="str">
        <x:v>Implementar login, papéis, autorização, segregação e testes de acesso.</x:v>
      </x:c>
      <x:c r="G46" s="85" t="str">
        <x:v>Planejado</x:v>
      </x:c>
      <x:c r="H46" s="82" t="str">
        <x:v>Streamlit público não possui autenticação própria da plataforma.</x:v>
      </x:c>
      <x:c r="I46" s="82" t="str">
        <x:v>Definir perfis e requisitos de privacidade antes da implementação.</x:v>
      </x:c>
    </x:row>
    <x:row r="47" ht="54" customHeight="1">
      <x:c r="A47" s="85" t="str">
        <x:v>FT-043</x:v>
      </x:c>
      <x:c r="B47" s="85" t="str">
        <x:v>P5</x:v>
      </x:c>
      <x:c r="C47" s="85" t="str">
        <x:v>Operação</x:v>
      </x:c>
      <x:c r="D47" s="82" t="str">
        <x:v>Fila e workers</x:v>
      </x:c>
      <x:c r="E47" s="82" t="str">
        <x:v>Executar tarefas demoradas de forma idempotente e observável.</x:v>
      </x:c>
      <x:c r="F47" s="82" t="str">
        <x:v>Adicionar fila, estados, retries, cancelamento, idempotência e armazenamento de artefatos.</x:v>
      </x:c>
      <x:c r="G47" s="85" t="str">
        <x:v>Parcial</x:v>
      </x:c>
      <x:c r="H47" s="82" t="str">
        <x:v>Worker local determinístico existe; faltam fila, persistência, retries e cancelamento.</x:v>
      </x:c>
      <x:c r="I47" s="82" t="str">
        <x:v>Definir estados de Run e implementar fila após FT-041.</x:v>
      </x:c>
    </x:row>
    <x:row r="48" ht="54" customHeight="1">
      <x:c r="A48" s="85" t="str">
        <x:v>FT-044</x:v>
      </x:c>
      <x:c r="B48" s="85" t="str">
        <x:v>P5</x:v>
      </x:c>
      <x:c r="C48" s="85" t="str">
        <x:v>Operação</x:v>
      </x:c>
      <x:c r="D48" s="82" t="str">
        <x:v>Auditoria</x:v>
      </x:c>
      <x:c r="E48" s="82" t="str">
        <x:v>Rastrear mudanças científicas e operacionais relevantes.</x:v>
      </x:c>
      <x:c r="F48" s="82" t="str">
        <x:v>Registrar usuário, ação, versões, entrada, dados, modelo, configuração e artefatos.</x:v>
      </x:c>
      <x:c r="G48" s="85" t="str">
        <x:v>Parcial</x:v>
      </x:c>
      <x:c r="H48" s="82" t="str">
        <x:v>Git, schemas, JSON e hashes dão rastreabilidade parcial; não há trilha multiusuário persistente.</x:v>
      </x:c>
      <x:c r="I48" s="82" t="str">
        <x:v>Criar modelo de eventos de auditoria junto ao banco e autenticação.</x:v>
      </x:c>
    </x:row>
    <x:row r="49" ht="54" customHeight="1">
      <x:c r="A49" s="85" t="str">
        <x:v>FT-045</x:v>
      </x:c>
      <x:c r="B49" s="85" t="str">
        <x:v>P5</x:v>
      </x:c>
      <x:c r="C49" s="85" t="str">
        <x:v>Operação</x:v>
      </x:c>
      <x:c r="D49" s="82" t="str">
        <x:v>Homologação</x:v>
      </x:c>
      <x:c r="E49" s="82" t="str">
        <x:v>Validar sistema completo com dados aprovados antes de produção.</x:v>
      </x:c>
      <x:c r="F49" s="82" t="str">
        <x:v>Implantar ambiente separado, testar migração, carga, segurança, recuperação e casos de aceite.</x:v>
      </x:c>
      <x:c r="G49" s="85" t="str">
        <x:v>Planejado</x:v>
      </x:c>
      <x:c r="H49" s="82" t="str">
        <x:v>Há protótipo público, mas não ambiente formal de homologação.</x:v>
      </x:c>
      <x:c r="I49" s="82" t="str">
        <x:v>Criar ambiente após persistência, autenticação e corpus aprovado.</x:v>
      </x:c>
    </x:row>
    <x:row r="50" ht="54" customHeight="1">
      <x:c r="A50" s="85" t="str">
        <x:v>FT-046</x:v>
      </x:c>
      <x:c r="B50" s="85" t="str">
        <x:v>P5</x:v>
      </x:c>
      <x:c r="C50" s="85" t="str">
        <x:v>Operação</x:v>
      </x:c>
      <x:c r="D50" s="82" t="str">
        <x:v>Observabilidade</x:v>
      </x:c>
      <x:c r="E50" s="82" t="str">
        <x:v>Detectar falhas, atrasos e degradação da plataforma.</x:v>
      </x:c>
      <x:c r="F50" s="82" t="str">
        <x:v>Implementar logs estruturados, métricas, alertas e painéis por execução/serviço.</x:v>
      </x:c>
      <x:c r="G50" s="85" t="str">
        <x:v>Planejado</x:v>
      </x:c>
      <x:c r="H50" s="82" t="str">
        <x:v>Streamlit fornece logs básicos do provedor; não há observabilidade própria.</x:v>
      </x:c>
      <x:c r="I50" s="82" t="str">
        <x:v>Definir métricas e correlação por project_id, case_id e run_id.</x:v>
      </x:c>
    </x:row>
    <x:row r="51" ht="54" customHeight="1">
      <x:c r="A51" s="85" t="str">
        <x:v>FT-047</x:v>
      </x:c>
      <x:c r="B51" s="85" t="str">
        <x:v>P5</x:v>
      </x:c>
      <x:c r="C51" s="85" t="str">
        <x:v>Operação</x:v>
      </x:c>
      <x:c r="D51" s="82" t="str">
        <x:v>Segurança</x:v>
      </x:c>
      <x:c r="E51" s="82" t="str">
        <x:v>Reduzir riscos de segredo, dependência, acesso e dados.</x:v>
      </x:c>
      <x:c r="F51" s="82" t="str">
        <x:v>Revisar dependências, segredos, permissões, privacidade, retenção e vulnerabilidades.</x:v>
      </x:c>
      <x:c r="G51" s="85" t="str">
        <x:v>Parcial</x:v>
      </x:c>
      <x:c r="H51" s="82" t="str">
        <x:v>Segredos/artefatos sensíveis são excluídos e não há secrets necessários no protótipo; falta revisão formal e controles multiusuário.</x:v>
      </x:c>
      <x:c r="I51" s="82" t="str">
        <x:v>Adicionar CI de dependências, política de segredos e revisão de segurança.</x:v>
      </x:c>
    </x:row>
    <x:row r="52" ht="54" customHeight="1">
      <x:c r="A52" s="86" t="str">
        <x:v>FT-048</x:v>
      </x:c>
      <x:c r="B52" s="86" t="str">
        <x:v>P5</x:v>
      </x:c>
      <x:c r="C52" s="86" t="str">
        <x:v>Operação</x:v>
      </x:c>
      <x:c r="D52" s="83" t="str">
        <x:v>Produção</x:v>
      </x:c>
      <x:c r="E52" s="83" t="str">
        <x:v>Operar versão controlada com rollback e teste de fumaça.</x:v>
      </x:c>
      <x:c r="F52" s="83" t="str">
        <x:v>Promover versão imutável após aceite, verificar backup, rollback, monitoramento e suporte.</x:v>
      </x:c>
      <x:c r="G52" s="86" t="str">
        <x:v>Parcial</x:v>
      </x:c>
      <x:c r="H52" s="83" t="str">
        <x:v>Aplicativo está publicado no Streamlit, mas é protótipo sem critérios completos de produção.</x:v>
      </x:c>
      <x:c r="I52" s="83" t="str">
        <x:v>Não classificar como produção até concluir FT-041 a FT-047 e as portas científicas.</x:v>
      </x:c>
    </x:row>
  </x:sheetData>
  <x:mergeCells>
    <x:mergeCell ref="A2:I2"/>
    <x:mergeCell ref="A3:I3"/>
  </x:mergeCells>
  <x:conditionalFormatting sqref="G5:G52">
    <x:cfRule type="containsText" dxfId="0" priority="1" operator="containsText" text="Concluído"/>
    <x:cfRule type="containsText" dxfId="1" priority="2" operator="containsText" text="Parcial"/>
    <x:cfRule type="containsText" dxfId="2" priority="3" operator="containsText" text="Planejado"/>
    <x:cfRule type="containsText" dxfId="3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f9855b4d6e430d"/>
  </x:tableParts>
</x:worksheet>
</file>